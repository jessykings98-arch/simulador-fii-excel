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60fc2826cf3b76/Área de Trabalho/Montando Portifólio/"/>
    </mc:Choice>
  </mc:AlternateContent>
  <xr:revisionPtr revIDLastSave="507" documentId="8_{CA410480-8974-4BE9-A7A7-25B8FDE48F42}" xr6:coauthVersionLast="47" xr6:coauthVersionMax="47" xr10:uidLastSave="{82646802-5F2B-4092-B462-84963DC40080}"/>
  <bookViews>
    <workbookView xWindow="11424" yWindow="0" windowWidth="11712" windowHeight="12336" tabRatio="25" xr2:uid="{A06AC610-9BAB-4223-B7B8-57F675740B1A}"/>
  </bookViews>
  <sheets>
    <sheet name="Projeto" sheetId="1" r:id="rId1"/>
    <sheet name="Tab.Aux" sheetId="2" r:id="rId2"/>
  </sheets>
  <definedNames>
    <definedName name="aporte">Projeto!$D$18</definedName>
    <definedName name="patrimonio">Projeto!$D$21</definedName>
    <definedName name="qtd_anos">Projeto!$D$19</definedName>
    <definedName name="rendimento_carteira">Projeto!$D$14</definedName>
    <definedName name="salario">Projeto!$D$13</definedName>
    <definedName name="sujestao">Projeto!$D$15</definedName>
    <definedName name="taxa_mensal">Projeto!$D$20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1" i="1" l="1"/>
  <c r="D22" i="1" s="1"/>
  <c r="D15" i="1"/>
  <c r="C36" i="1"/>
  <c r="C37" i="1"/>
  <c r="C38" i="1"/>
  <c r="C39" i="1"/>
  <c r="C40" i="1"/>
  <c r="C41" i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C29" i="1"/>
  <c r="D29" i="1" s="1"/>
  <c r="C28" i="1"/>
  <c r="D28" i="1" s="1"/>
  <c r="C27" i="1"/>
  <c r="D27" i="1" s="1"/>
  <c r="C26" i="1"/>
  <c r="D26" i="1" s="1"/>
  <c r="C25" i="1"/>
  <c r="D25" i="1" s="1"/>
  <c r="D38" i="1" l="1"/>
  <c r="D37" i="1"/>
  <c r="D36" i="1"/>
  <c r="D41" i="1"/>
  <c r="D40" i="1"/>
  <c r="D39" i="1"/>
  <c r="D42" i="1" l="1"/>
</calcChain>
</file>

<file path=xl/sharedStrings.xml><?xml version="1.0" encoding="utf-8"?>
<sst xmlns="http://schemas.openxmlformats.org/spreadsheetml/2006/main" count="69" uniqueCount="34">
  <si>
    <t>Quanto investir por mês?</t>
  </si>
  <si>
    <t>Por quantos anos?</t>
  </si>
  <si>
    <t>Taxa de Rendimento mensal?</t>
  </si>
  <si>
    <t>Patrimonio acumulado?</t>
  </si>
  <si>
    <t>Dividendos Mensais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</si>
  <si>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</si>
  <si>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</si>
  <si>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</si>
  <si>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</si>
  <si>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</si>
  <si>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</si>
  <si>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</si>
  <si>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</si>
  <si>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CONFIGURAÇÕES</t>
  </si>
  <si>
    <t>Salário</t>
  </si>
  <si>
    <t>Rendimento Carteira</t>
  </si>
  <si>
    <t>PERFIL</t>
  </si>
  <si>
    <t>AGRESSIVO</t>
  </si>
  <si>
    <t>CONSERVADOR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</si>
  <si>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</si>
  <si>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</si>
  <si>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</si>
  <si>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</si>
  <si>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</si>
  <si>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</si>
  <si>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</si>
  <si>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</si>
  <si>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</si>
  <si>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</si>
  <si>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</si>
  <si>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TIPOS DE FII</t>
  </si>
  <si>
    <t>%</t>
  </si>
  <si>
    <t>CHAVE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</si>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</sst>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%"/>
    <numFmt numFmtId="165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20"/>
      <color theme="0"/>
      <name val="Arial"/>
      <family val="2"/>
    </font>
    <font>
      <sz val="12"/>
      <color theme="0"/>
      <name val="Arial"/>
      <family val="2"/>
    </font>
    <font>
      <b/>
      <sz val="18"/>
      <color theme="0"/>
      <name val="Arial"/>
      <family val="2"/>
    </font>
    <font>
      <b/>
      <sz val="14"/>
      <color theme="0"/>
      <name val="Arial"/>
      <family val="2"/>
    </font>
    <font>
      <sz val="12"/>
      <color theme="1"/>
      <name val="Aptos Display"/>
      <family val="2"/>
      <scheme val="major"/>
    </font>
    <font>
      <b/>
      <sz val="13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/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70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8" fillId="3" borderId="2" xfId="0" applyFont="1" applyFill="1" applyBorder="1" applyAlignment="1">
      <alignment vertical="center"/>
    </xf>
    <xf numFmtId="0" fontId="7" fillId="5" borderId="0" xfId="0" applyFont="1" applyFill="1" applyAlignment="1">
      <alignment vertical="center"/>
    </xf>
    <xf numFmtId="0" fontId="4" fillId="5" borderId="0" xfId="0" applyFont="1" applyFill="1"/>
    <xf numFmtId="0" fontId="2" fillId="2" borderId="0" xfId="3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9" fontId="3" fillId="0" borderId="2" xfId="2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9" fontId="3" fillId="0" borderId="4" xfId="2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9" fontId="3" fillId="0" borderId="6" xfId="2" applyFont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165" fontId="9" fillId="0" borderId="8" xfId="1" applyNumberFormat="1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center" vertical="center"/>
    </xf>
    <xf numFmtId="165" fontId="9" fillId="6" borderId="12" xfId="0" applyNumberFormat="1" applyFont="1" applyFill="1" applyBorder="1" applyAlignment="1">
      <alignment horizontal="center" vertical="center"/>
    </xf>
    <xf numFmtId="165" fontId="10" fillId="0" borderId="19" xfId="1" applyNumberFormat="1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10" fontId="10" fillId="0" borderId="22" xfId="0" applyNumberFormat="1" applyFont="1" applyBorder="1" applyAlignment="1">
      <alignment horizontal="center" vertical="center"/>
    </xf>
    <xf numFmtId="165" fontId="10" fillId="4" borderId="22" xfId="0" applyNumberFormat="1" applyFont="1" applyFill="1" applyBorder="1" applyAlignment="1">
      <alignment horizontal="center" vertical="center"/>
    </xf>
    <xf numFmtId="165" fontId="10" fillId="4" borderId="25" xfId="0" applyNumberFormat="1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165" fontId="9" fillId="4" borderId="18" xfId="0" applyNumberFormat="1" applyFont="1" applyFill="1" applyBorder="1" applyAlignment="1">
      <alignment horizontal="center" vertical="center"/>
    </xf>
    <xf numFmtId="165" fontId="9" fillId="4" borderId="19" xfId="0" applyNumberFormat="1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165" fontId="9" fillId="4" borderId="21" xfId="0" applyNumberFormat="1" applyFont="1" applyFill="1" applyBorder="1" applyAlignment="1">
      <alignment horizontal="center" vertical="center"/>
    </xf>
    <xf numFmtId="165" fontId="9" fillId="4" borderId="22" xfId="0" applyNumberFormat="1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5" fontId="9" fillId="4" borderId="24" xfId="0" applyNumberFormat="1" applyFont="1" applyFill="1" applyBorder="1" applyAlignment="1">
      <alignment horizontal="center" vertical="center"/>
    </xf>
    <xf numFmtId="165" fontId="9" fillId="4" borderId="25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5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4" fillId="8" borderId="0" xfId="0" applyFont="1" applyFill="1" applyAlignment="1">
      <alignment horizontal="center" vertical="center"/>
    </xf>
    <xf numFmtId="165" fontId="4" fillId="6" borderId="0" xfId="0" applyNumberFormat="1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165" fontId="4" fillId="8" borderId="0" xfId="0" applyNumberFormat="1" applyFont="1" applyFill="1" applyAlignment="1">
      <alignment horizontal="center" vertical="center"/>
    </xf>
    <xf numFmtId="9" fontId="3" fillId="0" borderId="0" xfId="2" applyFont="1"/>
    <xf numFmtId="0" fontId="11" fillId="4" borderId="23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Projeto!$C$35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B5-4F12-8C40-BF30257BFD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B5-4F12-8C40-BF30257BFD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B5-4F12-8C40-BF30257BFD1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B5-4F12-8C40-BF30257BFD1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B5-4F12-8C40-BF30257BFD1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B5-4F12-8C40-BF30257BFD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Projeto!$B$36:$B$41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Projeto!$C$36:$C$41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7-4B97-B8A0-C262D1EE910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170597</xdr:colOff>
      <xdr:row>0</xdr:row>
      <xdr:rowOff>0</xdr:rowOff>
    </xdr:from>
    <xdr:to>
      <xdr:col>5</xdr:col>
      <xdr:colOff>0</xdr:colOff>
      <xdr:row>9</xdr:row>
      <xdr:rowOff>129975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371224A-C803-486B-86C6-32EE606D9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7" y="0"/>
          <a:ext cx="8416119" cy="187006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43</xdr:row>
      <xdr:rowOff>104483</xdr:rowOff>
    </xdr:from>
    <xdr:to>
      <xdr:col>3</xdr:col>
      <xdr:colOff>1539551</xdr:colOff>
      <xdr:row>62</xdr:row>
      <xdr:rowOff>181558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70C184B-A684-10AF-D9EA-09ED8CFD6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3983B-19B3-4265-9EFA-2D9F5A99C1D1}">
  <dimension ref="A11:I73"/>
  <sheetViews>
    <sheetView showGridLines="0" showRowColHeaders="0" tabSelected="1" topLeftCell="A9" zoomScale="79" zoomScaleNormal="70" workbookViewId="0">
      <selection activeCell="D22" sqref="D22"/>
    </sheetView>
  </sheetViews>
  <sheetFormatPr defaultColWidth="0" defaultRowHeight="15" x14ac:dyDescent="0.25"/>
  <cols>
    <col min="1" max="1" width="4.88671875" style="2" customWidth="1"/>
    <col min="2" max="2" width="47.109375" style="2" customWidth="1"/>
    <col min="3" max="3" width="48.21875" style="2" customWidth="1"/>
    <col min="4" max="4" width="22.77734375" style="2" bestFit="1" customWidth="1"/>
    <col min="5" max="5" width="2.33203125" style="2" customWidth="1"/>
    <col min="6" max="6" width="3.33203125" style="2" customWidth="1"/>
    <col min="7" max="7" width="3.6640625" style="2" customWidth="1"/>
    <col min="8" max="11" width="8.88671875" style="2" hidden="1" customWidth="1"/>
    <col min="12" max="16384" width="8.88671875" style="2" hidden="1"/>
  </cols>
  <sheetData>
    <row r="11" spans="2:5" ht="15.6" thickBot="1" x14ac:dyDescent="0.3">
      <c r="B11" s="24"/>
      <c r="C11" s="24"/>
      <c r="D11" s="24"/>
      <c r="E11" s="24"/>
    </row>
    <row r="12" spans="2:5" ht="22.8" x14ac:dyDescent="0.25">
      <c r="B12" s="61" t="s">
        <v>13</v>
      </c>
      <c r="C12" s="62"/>
      <c r="D12" s="63"/>
      <c r="E12" s="24"/>
    </row>
    <row r="13" spans="2:5" ht="15.6" x14ac:dyDescent="0.25">
      <c r="B13" s="55" t="s">
        <v>14</v>
      </c>
      <c r="C13" s="56"/>
      <c r="D13" s="25">
        <v>5000</v>
      </c>
      <c r="E13" s="24"/>
    </row>
    <row r="14" spans="2:5" ht="15.6" x14ac:dyDescent="0.25">
      <c r="B14" s="57" t="s">
        <v>15</v>
      </c>
      <c r="C14" s="58"/>
      <c r="D14" s="26">
        <v>0.01</v>
      </c>
      <c r="E14" s="24"/>
    </row>
    <row r="15" spans="2:5" ht="16.2" thickBot="1" x14ac:dyDescent="0.3">
      <c r="B15" s="59" t="s">
        <v>33</v>
      </c>
      <c r="C15" s="60"/>
      <c r="D15" s="27">
        <f>D13*30%</f>
        <v>1500</v>
      </c>
      <c r="E15" s="24"/>
    </row>
    <row r="16" spans="2:5" ht="15.6" thickBot="1" x14ac:dyDescent="0.3">
      <c r="B16" s="24"/>
      <c r="C16" s="24"/>
      <c r="D16" s="24"/>
      <c r="E16" s="24"/>
    </row>
    <row r="17" spans="1:9" ht="24.6" x14ac:dyDescent="0.25">
      <c r="B17" s="52" t="s">
        <v>5</v>
      </c>
      <c r="C17" s="53"/>
      <c r="D17" s="54"/>
      <c r="E17" s="24"/>
      <c r="G17" s="5"/>
      <c r="H17" s="6"/>
      <c r="I17" s="6"/>
    </row>
    <row r="18" spans="1:9" ht="18" thickBot="1" x14ac:dyDescent="0.3">
      <c r="B18" s="64" t="s">
        <v>0</v>
      </c>
      <c r="C18" s="65"/>
      <c r="D18" s="28">
        <v>1000</v>
      </c>
      <c r="E18" s="24"/>
      <c r="G18" s="6"/>
      <c r="H18" s="6"/>
      <c r="I18" s="6"/>
    </row>
    <row r="19" spans="1:9" ht="18" thickBot="1" x14ac:dyDescent="0.3">
      <c r="B19" s="66" t="s">
        <v>1</v>
      </c>
      <c r="C19" s="67"/>
      <c r="D19" s="29">
        <v>5</v>
      </c>
      <c r="E19" s="24"/>
    </row>
    <row r="20" spans="1:9" ht="18" thickBot="1" x14ac:dyDescent="0.3">
      <c r="B20" s="66" t="s">
        <v>2</v>
      </c>
      <c r="C20" s="67"/>
      <c r="D20" s="30">
        <v>0.01</v>
      </c>
      <c r="E20" s="24"/>
    </row>
    <row r="21" spans="1:9" ht="18" thickBot="1" x14ac:dyDescent="0.3">
      <c r="B21" s="68" t="s">
        <v>3</v>
      </c>
      <c r="C21" s="69"/>
      <c r="D21" s="31">
        <f>FV(taxa_mensal,qtd_anos*12,aporte*-1)</f>
        <v>81669.669856409135</v>
      </c>
      <c r="E21" s="24"/>
    </row>
    <row r="22" spans="1:9" ht="18" thickBot="1" x14ac:dyDescent="0.3">
      <c r="B22" s="50" t="s">
        <v>4</v>
      </c>
      <c r="C22" s="51"/>
      <c r="D22" s="32">
        <f>patrimonio*taxa_mensal</f>
        <v>816.69669856409132</v>
      </c>
      <c r="E22" s="24"/>
    </row>
    <row r="23" spans="1:9" ht="15.6" thickBot="1" x14ac:dyDescent="0.3">
      <c r="B23" s="24"/>
      <c r="C23" s="24"/>
      <c r="D23" s="24"/>
      <c r="E23" s="24"/>
    </row>
    <row r="24" spans="1:9" ht="24.6" x14ac:dyDescent="0.25">
      <c r="B24" s="52" t="s">
        <v>11</v>
      </c>
      <c r="C24" s="53"/>
      <c r="D24" s="4" t="s">
        <v>12</v>
      </c>
      <c r="E24" s="24"/>
    </row>
    <row r="25" spans="1:9" ht="16.2" thickBot="1" x14ac:dyDescent="0.3">
      <c r="A25" s="3">
        <v>2</v>
      </c>
      <c r="B25" s="33" t="s">
        <v>6</v>
      </c>
      <c r="C25" s="34">
        <f>FV($D$20,$A25*12,$D$18*-1)</f>
        <v>26973.464853191497</v>
      </c>
      <c r="D25" s="35">
        <f>C25*rendimento_carteira</f>
        <v>269.73464853191496</v>
      </c>
      <c r="E25" s="24"/>
    </row>
    <row r="26" spans="1:9" ht="16.2" thickBot="1" x14ac:dyDescent="0.3">
      <c r="A26" s="3">
        <v>5</v>
      </c>
      <c r="B26" s="36" t="s">
        <v>7</v>
      </c>
      <c r="C26" s="37">
        <f>FV($D$20,$A26*12,$D$18*-1)</f>
        <v>81669.669856409135</v>
      </c>
      <c r="D26" s="38">
        <f>C26*rendimento_carteira</f>
        <v>816.69669856409132</v>
      </c>
      <c r="E26" s="24"/>
    </row>
    <row r="27" spans="1:9" ht="16.2" thickBot="1" x14ac:dyDescent="0.3">
      <c r="A27" s="3">
        <v>10</v>
      </c>
      <c r="B27" s="36" t="s">
        <v>8</v>
      </c>
      <c r="C27" s="37">
        <f>FV($D$20,$A27*12,$D$18*-1)</f>
        <v>230038.68945736697</v>
      </c>
      <c r="D27" s="38">
        <f>C27*rendimento_carteira</f>
        <v>2300.3868945736699</v>
      </c>
      <c r="E27" s="24"/>
    </row>
    <row r="28" spans="1:9" ht="16.2" thickBot="1" x14ac:dyDescent="0.3">
      <c r="A28" s="3">
        <v>20</v>
      </c>
      <c r="B28" s="36" t="s">
        <v>9</v>
      </c>
      <c r="C28" s="37">
        <f>FV($D$20,$A28*12,$D$18*-1)</f>
        <v>989255.36538736301</v>
      </c>
      <c r="D28" s="38">
        <f>C28*rendimento_carteira</f>
        <v>9892.5536538736305</v>
      </c>
      <c r="E28" s="24"/>
    </row>
    <row r="29" spans="1:9" ht="16.2" thickBot="1" x14ac:dyDescent="0.3">
      <c r="A29" s="3">
        <v>30</v>
      </c>
      <c r="B29" s="39" t="s">
        <v>10</v>
      </c>
      <c r="C29" s="40">
        <f>FV($D$20,$A29*12,$D$18*-1)</f>
        <v>3494964.1327685062</v>
      </c>
      <c r="D29" s="41">
        <f>C29*rendimento_carteira</f>
        <v>34949.641327685065</v>
      </c>
      <c r="E29" s="24"/>
    </row>
    <row r="30" spans="1:9" x14ac:dyDescent="0.25">
      <c r="B30" s="24"/>
      <c r="C30" s="24"/>
      <c r="D30" s="24"/>
      <c r="E30" s="24"/>
    </row>
    <row r="31" spans="1:9" x14ac:dyDescent="0.25">
      <c r="B31" s="24"/>
      <c r="C31" s="24"/>
      <c r="D31" s="24"/>
      <c r="E31" s="24"/>
    </row>
    <row r="32" spans="1:9" x14ac:dyDescent="0.25">
      <c r="B32" s="7" t="s">
        <v>16</v>
      </c>
      <c r="C32" s="7" t="s">
        <v>19</v>
      </c>
      <c r="D32" s="7"/>
      <c r="E32" s="24"/>
    </row>
    <row r="33" spans="2:5" x14ac:dyDescent="0.25">
      <c r="B33" s="42" t="s">
        <v>20</v>
      </c>
      <c r="C33" s="43">
        <f>aporte</f>
        <v>1000</v>
      </c>
      <c r="D33" s="44"/>
      <c r="E33" s="24"/>
    </row>
    <row r="34" spans="2:5" x14ac:dyDescent="0.25">
      <c r="B34" s="24"/>
      <c r="C34" s="24"/>
      <c r="D34" s="24"/>
      <c r="E34" s="24"/>
    </row>
    <row r="35" spans="2:5" x14ac:dyDescent="0.25">
      <c r="B35" s="45" t="s">
        <v>21</v>
      </c>
      <c r="C35" s="45" t="s">
        <v>22</v>
      </c>
      <c r="D35" s="45" t="s">
        <v>23</v>
      </c>
      <c r="E35" s="24"/>
    </row>
    <row r="36" spans="2:5" x14ac:dyDescent="0.25">
      <c r="B36" s="11" t="s">
        <v>24</v>
      </c>
      <c r="C36" s="12">
        <f>VLOOKUP($C$32&amp;"-"&amp;B36,Tab.Aux!A3:D20,4,)</f>
        <v>0.32</v>
      </c>
      <c r="D36" s="46">
        <f>C36*$C$33</f>
        <v>320</v>
      </c>
      <c r="E36" s="24"/>
    </row>
    <row r="37" spans="2:5" x14ac:dyDescent="0.25">
      <c r="B37" s="11" t="s">
        <v>25</v>
      </c>
      <c r="C37" s="12">
        <f>VLOOKUP($C$32&amp;"-"&amp;B37,Tab.Aux!A4:D21,4,)</f>
        <v>0.35</v>
      </c>
      <c r="D37" s="46">
        <f t="shared" ref="D37:D41" si="0">C37*$C$33</f>
        <v>350</v>
      </c>
      <c r="E37" s="24"/>
    </row>
    <row r="38" spans="2:5" x14ac:dyDescent="0.25">
      <c r="B38" s="11" t="s">
        <v>26</v>
      </c>
      <c r="C38" s="12">
        <f>VLOOKUP($C$32&amp;"-"&amp;B38,Tab.Aux!A5:D22,4,)</f>
        <v>0.08</v>
      </c>
      <c r="D38" s="46">
        <f t="shared" si="0"/>
        <v>80</v>
      </c>
      <c r="E38" s="24"/>
    </row>
    <row r="39" spans="2:5" x14ac:dyDescent="0.25">
      <c r="B39" s="11" t="s">
        <v>27</v>
      </c>
      <c r="C39" s="12">
        <f>VLOOKUP($C$32&amp;"-"&amp;B39,Tab.Aux!A6:D23,4,)</f>
        <v>0.05</v>
      </c>
      <c r="D39" s="46">
        <f t="shared" si="0"/>
        <v>50</v>
      </c>
      <c r="E39" s="24"/>
    </row>
    <row r="40" spans="2:5" x14ac:dyDescent="0.25">
      <c r="B40" s="11" t="s">
        <v>28</v>
      </c>
      <c r="C40" s="12">
        <f>VLOOKUP($C$32&amp;"-"&amp;B40,Tab.Aux!A7:D24,4,)</f>
        <v>0.1</v>
      </c>
      <c r="D40" s="46">
        <f t="shared" si="0"/>
        <v>100</v>
      </c>
      <c r="E40" s="24"/>
    </row>
    <row r="41" spans="2:5" x14ac:dyDescent="0.25">
      <c r="B41" s="11" t="s">
        <v>29</v>
      </c>
      <c r="C41" s="12">
        <f>VLOOKUP($C$32&amp;"-"&amp;B41,Tab.Aux!A8:D25,4,)</f>
        <v>0.1</v>
      </c>
      <c r="D41" s="46">
        <f t="shared" si="0"/>
        <v>100</v>
      </c>
      <c r="E41" s="24"/>
    </row>
    <row r="42" spans="2:5" x14ac:dyDescent="0.25">
      <c r="B42" s="47"/>
      <c r="C42" s="47"/>
      <c r="D42" s="48">
        <f>SUM(D36:D41)</f>
        <v>1000</v>
      </c>
      <c r="E42" s="24"/>
    </row>
    <row r="43" spans="2:5" x14ac:dyDescent="0.25">
      <c r="B43" s="24"/>
      <c r="C43" s="24"/>
      <c r="D43" s="24"/>
      <c r="E43" s="24"/>
    </row>
    <row r="44" spans="2:5" x14ac:dyDescent="0.25">
      <c r="B44" s="24"/>
      <c r="C44" s="24"/>
      <c r="D44" s="24"/>
      <c r="E44" s="24"/>
    </row>
    <row r="45" spans="2:5" x14ac:dyDescent="0.25">
      <c r="B45" s="24"/>
      <c r="C45" s="24"/>
      <c r="D45" s="24"/>
      <c r="E45" s="24"/>
    </row>
    <row r="46" spans="2:5" x14ac:dyDescent="0.25">
      <c r="B46" s="24"/>
      <c r="C46" s="24"/>
      <c r="D46" s="24"/>
      <c r="E46" s="24"/>
    </row>
    <row r="47" spans="2:5" x14ac:dyDescent="0.25">
      <c r="B47" s="24"/>
      <c r="C47" s="24"/>
      <c r="D47" s="24"/>
      <c r="E47" s="24"/>
    </row>
    <row r="48" spans="2:5" x14ac:dyDescent="0.25">
      <c r="B48" s="24"/>
      <c r="C48" s="24"/>
      <c r="D48" s="24"/>
      <c r="E48" s="24"/>
    </row>
    <row r="49" spans="2:5" x14ac:dyDescent="0.25">
      <c r="B49" s="24"/>
      <c r="C49" s="24"/>
      <c r="D49" s="24"/>
      <c r="E49" s="24"/>
    </row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</sheetData>
  <mergeCells count="11">
    <mergeCell ref="B12:D12"/>
    <mergeCell ref="B24:C24"/>
    <mergeCell ref="B18:C18"/>
    <mergeCell ref="B19:C19"/>
    <mergeCell ref="B20:C20"/>
    <mergeCell ref="B21:C21"/>
    <mergeCell ref="B22:C22"/>
    <mergeCell ref="B17:D17"/>
    <mergeCell ref="B13:C13"/>
    <mergeCell ref="B14:C14"/>
    <mergeCell ref="B15:C15"/>
  </mergeCells>
  <dataValidations count="1">
    <dataValidation type="list" allowBlank="1" showInputMessage="1" showErrorMessage="1" sqref="C32" xr:uid="{DEB62108-FAB6-4499-ADF6-6A8134FA5A55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44CD-E9D7-46FD-9B01-078512FF4E64}">
  <dimension ref="A2:G20"/>
  <sheetViews>
    <sheetView workbookViewId="0"/>
  </sheetViews>
  <sheetFormatPr defaultRowHeight="13.8" x14ac:dyDescent="0.25"/>
  <cols>
    <col min="1" max="1" width="32.88671875" style="1" bestFit="1" customWidth="1"/>
    <col min="2" max="2" width="16.5546875" style="1" bestFit="1" customWidth="1"/>
    <col min="3" max="3" width="17.5546875" style="1" bestFit="1" customWidth="1"/>
    <col min="4" max="4" width="5.44140625" style="1" bestFit="1" customWidth="1"/>
    <col min="5" max="5" width="8.88671875" style="1"/>
    <col min="6" max="6" width="18.44140625" style="1" bestFit="1" customWidth="1"/>
    <col min="7" max="16384" width="8.88671875" style="1"/>
  </cols>
  <sheetData>
    <row r="2" spans="1:7" s="8" customFormat="1" x14ac:dyDescent="0.25">
      <c r="A2" s="9" t="s">
        <v>32</v>
      </c>
      <c r="B2" s="9" t="s">
        <v>16</v>
      </c>
      <c r="C2" s="9" t="s">
        <v>30</v>
      </c>
      <c r="D2" s="9" t="s">
        <v>31</v>
      </c>
    </row>
    <row r="3" spans="1:7" ht="15" x14ac:dyDescent="0.25">
      <c r="A3" s="10" t="str">
        <f>B3&amp;"-"&amp;C3</f>
        <v>CONSERVADOR-Papel</v>
      </c>
      <c r="B3" s="10" t="s">
        <v>18</v>
      </c>
      <c r="C3" s="11" t="s">
        <v>24</v>
      </c>
      <c r="D3" s="12">
        <v>0.3</v>
      </c>
    </row>
    <row r="4" spans="1:7" ht="15" x14ac:dyDescent="0.25">
      <c r="A4" s="10" t="str">
        <f t="shared" ref="A4:A20" si="0">B4&amp;"-"&amp;C4</f>
        <v>CONSERVADOR-Tijolo</v>
      </c>
      <c r="B4" s="10" t="s">
        <v>18</v>
      </c>
      <c r="C4" s="11" t="s">
        <v>25</v>
      </c>
      <c r="D4" s="12">
        <v>0.5</v>
      </c>
      <c r="G4" s="49"/>
    </row>
    <row r="5" spans="1:7" ht="15" x14ac:dyDescent="0.25">
      <c r="A5" s="10" t="str">
        <f t="shared" si="0"/>
        <v>CONSERVADOR-Híbridos</v>
      </c>
      <c r="B5" s="10" t="s">
        <v>18</v>
      </c>
      <c r="C5" s="11" t="s">
        <v>26</v>
      </c>
      <c r="D5" s="12">
        <v>0.1</v>
      </c>
    </row>
    <row r="6" spans="1:7" ht="15" x14ac:dyDescent="0.25">
      <c r="A6" s="10" t="str">
        <f t="shared" si="0"/>
        <v>CONSERVADOR-FOFs</v>
      </c>
      <c r="B6" s="10" t="s">
        <v>18</v>
      </c>
      <c r="C6" s="11" t="s">
        <v>27</v>
      </c>
      <c r="D6" s="12">
        <v>0.1</v>
      </c>
    </row>
    <row r="7" spans="1:7" ht="15" x14ac:dyDescent="0.25">
      <c r="A7" s="10" t="str">
        <f t="shared" si="0"/>
        <v>CONSERVADOR-Desenvolvimento</v>
      </c>
      <c r="B7" s="10" t="s">
        <v>18</v>
      </c>
      <c r="C7" s="11" t="s">
        <v>28</v>
      </c>
      <c r="D7" s="12">
        <v>0</v>
      </c>
    </row>
    <row r="8" spans="1:7" ht="15.6" thickBot="1" x14ac:dyDescent="0.3">
      <c r="A8" s="10" t="str">
        <f t="shared" si="0"/>
        <v>CONSERVADOR-Hotelarias</v>
      </c>
      <c r="B8" s="10" t="s">
        <v>18</v>
      </c>
      <c r="C8" s="11" t="s">
        <v>29</v>
      </c>
      <c r="D8" s="12">
        <v>0</v>
      </c>
    </row>
    <row r="9" spans="1:7" ht="15" x14ac:dyDescent="0.25">
      <c r="A9" s="13" t="str">
        <f t="shared" si="0"/>
        <v>MODERADO-Papel</v>
      </c>
      <c r="B9" s="14" t="s">
        <v>19</v>
      </c>
      <c r="C9" s="15" t="s">
        <v>24</v>
      </c>
      <c r="D9" s="16">
        <v>0.32</v>
      </c>
    </row>
    <row r="10" spans="1:7" ht="15" x14ac:dyDescent="0.25">
      <c r="A10" s="17" t="str">
        <f t="shared" si="0"/>
        <v>MODERADO-Tijolo</v>
      </c>
      <c r="B10" s="10" t="s">
        <v>19</v>
      </c>
      <c r="C10" s="11" t="s">
        <v>25</v>
      </c>
      <c r="D10" s="18">
        <v>0.35</v>
      </c>
    </row>
    <row r="11" spans="1:7" ht="15" x14ac:dyDescent="0.25">
      <c r="A11" s="17" t="str">
        <f t="shared" si="0"/>
        <v>MODERADO-Híbridos</v>
      </c>
      <c r="B11" s="10" t="s">
        <v>19</v>
      </c>
      <c r="C11" s="11" t="s">
        <v>26</v>
      </c>
      <c r="D11" s="18">
        <v>0.08</v>
      </c>
    </row>
    <row r="12" spans="1:7" ht="15" x14ac:dyDescent="0.25">
      <c r="A12" s="17" t="str">
        <f t="shared" si="0"/>
        <v>MODERADO-FOFs</v>
      </c>
      <c r="B12" s="10" t="s">
        <v>19</v>
      </c>
      <c r="C12" s="11" t="s">
        <v>27</v>
      </c>
      <c r="D12" s="18">
        <v>0.05</v>
      </c>
    </row>
    <row r="13" spans="1:7" ht="15" x14ac:dyDescent="0.25">
      <c r="A13" s="17" t="str">
        <f t="shared" si="0"/>
        <v>MODERADO-Desenvolvimento</v>
      </c>
      <c r="B13" s="10" t="s">
        <v>19</v>
      </c>
      <c r="C13" s="11" t="s">
        <v>28</v>
      </c>
      <c r="D13" s="18">
        <v>0.1</v>
      </c>
    </row>
    <row r="14" spans="1:7" ht="15.6" thickBot="1" x14ac:dyDescent="0.3">
      <c r="A14" s="19" t="str">
        <f t="shared" si="0"/>
        <v>MODERADO-Hotelarias</v>
      </c>
      <c r="B14" s="20" t="s">
        <v>19</v>
      </c>
      <c r="C14" s="21" t="s">
        <v>29</v>
      </c>
      <c r="D14" s="22">
        <v>0.1</v>
      </c>
    </row>
    <row r="15" spans="1:7" ht="15" x14ac:dyDescent="0.25">
      <c r="A15" s="10" t="str">
        <f t="shared" si="0"/>
        <v>AGRESSIVO-Papel</v>
      </c>
      <c r="B15" s="10" t="s">
        <v>17</v>
      </c>
      <c r="C15" s="11" t="s">
        <v>24</v>
      </c>
      <c r="D15" s="23">
        <v>0.5</v>
      </c>
    </row>
    <row r="16" spans="1:7" ht="15" x14ac:dyDescent="0.25">
      <c r="A16" s="10" t="str">
        <f t="shared" si="0"/>
        <v>AGRESSIVO-Tijolo</v>
      </c>
      <c r="B16" s="10" t="s">
        <v>17</v>
      </c>
      <c r="C16" s="11" t="s">
        <v>25</v>
      </c>
      <c r="D16" s="23">
        <v>0.1</v>
      </c>
    </row>
    <row r="17" spans="1:4" ht="15" x14ac:dyDescent="0.25">
      <c r="A17" s="10" t="str">
        <f t="shared" si="0"/>
        <v>AGRESSIVO-Híbridos</v>
      </c>
      <c r="B17" s="10" t="s">
        <v>17</v>
      </c>
      <c r="C17" s="11" t="s">
        <v>26</v>
      </c>
      <c r="D17" s="23">
        <v>0.05</v>
      </c>
    </row>
    <row r="18" spans="1:4" ht="15" x14ac:dyDescent="0.25">
      <c r="A18" s="10" t="str">
        <f t="shared" si="0"/>
        <v>AGRESSIVO-FOFs</v>
      </c>
      <c r="B18" s="10" t="s">
        <v>17</v>
      </c>
      <c r="C18" s="11" t="s">
        <v>27</v>
      </c>
      <c r="D18" s="23">
        <v>0.05</v>
      </c>
    </row>
    <row r="19" spans="1:4" ht="15" x14ac:dyDescent="0.25">
      <c r="A19" s="10" t="str">
        <f t="shared" si="0"/>
        <v>AGRESSIVO-Desenvolvimento</v>
      </c>
      <c r="B19" s="10" t="s">
        <v>17</v>
      </c>
      <c r="C19" s="11" t="s">
        <v>28</v>
      </c>
      <c r="D19" s="23">
        <v>0.2</v>
      </c>
    </row>
    <row r="20" spans="1:4" ht="15" x14ac:dyDescent="0.25">
      <c r="A20" s="10" t="str">
        <f t="shared" si="0"/>
        <v>AGRESSIVO-Hotelarias</v>
      </c>
      <c r="B20" s="10" t="s">
        <v>17</v>
      </c>
      <c r="C20" s="11" t="s">
        <v>29</v>
      </c>
      <c r="D20" s="2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Projeto</vt:lpstr>
      <vt:lpstr>Tab.Aux</vt:lpstr>
      <vt:lpstr>aporte</vt:lpstr>
      <vt:lpstr>patrimonio</vt:lpstr>
      <vt:lpstr>qtd_anos</vt:lpstr>
      <vt:lpstr>rendimento_carteira</vt:lpstr>
      <vt:lpstr>salario</vt:lpstr>
      <vt:lpstr>sujestao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Alves</dc:creator>
  <cp:lastModifiedBy>Gustavo Alves</cp:lastModifiedBy>
  <dcterms:created xsi:type="dcterms:W3CDTF">2026-10-18T01:18:54Z</dcterms:created>
  <dcterms:modified xsi:type="dcterms:W3CDTF">2026-10-18T04:30:26Z</dcterms:modified>
</cp:coreProperties>
</file>